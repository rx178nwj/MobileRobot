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b43101d5d9057e/CraftWork/ConvenientSystem/CommonPR2040/PR2040_DC_MOTOR_DRIVER/"/>
    </mc:Choice>
  </mc:AlternateContent>
  <xr:revisionPtr revIDLastSave="6" documentId="8_{C1D793ED-2BD8-4808-BA05-19AAA49B835A}" xr6:coauthVersionLast="47" xr6:coauthVersionMax="47" xr10:uidLastSave="{A927587D-4B65-4DB5-BDF8-9B501FC3B927}"/>
  <bookViews>
    <workbookView xWindow="39160" yWindow="1990" windowWidth="23500" windowHeight="17520" xr2:uid="{F953E0F3-B827-4CB1-94F3-49C2DA6E24C9}"/>
  </bookViews>
  <sheets>
    <sheet name="MOTOR_DRIVER" sheetId="1" r:id="rId1"/>
    <sheet name="Sheet1" sheetId="2" r:id="rId2"/>
  </sheets>
  <definedNames>
    <definedName name="_xlnm._FilterDatabase" localSheetId="0" hidden="1">MOTOR_DRIVER!$A$1:$K$53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 s="1"/>
  <c r="J6" i="1"/>
  <c r="K6" i="1"/>
  <c r="J7" i="1"/>
  <c r="K7" i="1"/>
  <c r="J8" i="1"/>
  <c r="K8" i="1"/>
  <c r="J9" i="1"/>
  <c r="K9" i="1" s="1"/>
  <c r="J10" i="1"/>
  <c r="K10" i="1" s="1"/>
  <c r="J11" i="1"/>
  <c r="K11" i="1"/>
  <c r="J12" i="1"/>
  <c r="K12" i="1" s="1"/>
  <c r="J13" i="1"/>
  <c r="K13" i="1"/>
  <c r="J14" i="1"/>
  <c r="K14" i="1" s="1"/>
  <c r="J15" i="1"/>
  <c r="K15" i="1"/>
  <c r="J16" i="1"/>
  <c r="K16" i="1" s="1"/>
  <c r="J17" i="1"/>
  <c r="K17" i="1"/>
  <c r="J18" i="1"/>
  <c r="K18" i="1" s="1"/>
  <c r="J19" i="1"/>
  <c r="K19" i="1" s="1"/>
  <c r="J20" i="1"/>
  <c r="K20" i="1"/>
  <c r="J21" i="1"/>
  <c r="K21" i="1"/>
  <c r="J22" i="1"/>
  <c r="K22" i="1"/>
  <c r="J23" i="1"/>
  <c r="K23" i="1" s="1"/>
  <c r="J24" i="1"/>
  <c r="K24" i="1" s="1"/>
  <c r="J25" i="1"/>
  <c r="K25" i="1" s="1"/>
  <c r="J26" i="1"/>
  <c r="K26" i="1"/>
  <c r="J27" i="1"/>
  <c r="K27" i="1"/>
  <c r="J28" i="1"/>
  <c r="K28" i="1"/>
  <c r="J29" i="1"/>
  <c r="K29" i="1"/>
  <c r="J30" i="1"/>
  <c r="K30" i="1"/>
  <c r="J31" i="1"/>
  <c r="K31" i="1" s="1"/>
  <c r="J32" i="1"/>
  <c r="K32" i="1" s="1"/>
  <c r="J33" i="1"/>
  <c r="K33" i="1" s="1"/>
  <c r="J34" i="1"/>
  <c r="K34" i="1" s="1"/>
  <c r="J35" i="1"/>
  <c r="K35" i="1"/>
  <c r="J36" i="1"/>
  <c r="K36" i="1"/>
  <c r="J37" i="1"/>
  <c r="K37" i="1" s="1"/>
  <c r="J38" i="1"/>
  <c r="K38" i="1" s="1"/>
  <c r="J39" i="1"/>
  <c r="K39" i="1" s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 s="1"/>
  <c r="J47" i="1"/>
  <c r="K47" i="1" s="1"/>
  <c r="J48" i="1"/>
  <c r="K48" i="1" s="1"/>
  <c r="J49" i="1"/>
  <c r="K49" i="1" s="1"/>
  <c r="J50" i="1"/>
  <c r="K50" i="1"/>
  <c r="J51" i="1"/>
  <c r="K51" i="1" s="1"/>
  <c r="J52" i="1"/>
  <c r="K52" i="1"/>
  <c r="J53" i="1"/>
  <c r="K53" i="1"/>
  <c r="J2" i="1"/>
  <c r="K2" i="1" s="1"/>
</calcChain>
</file>

<file path=xl/sharedStrings.xml><?xml version="1.0" encoding="utf-8"?>
<sst xmlns="http://schemas.openxmlformats.org/spreadsheetml/2006/main" count="268" uniqueCount="157">
  <si>
    <t>&gt;  C1, C19</t>
  </si>
  <si>
    <t>2.2uF</t>
  </si>
  <si>
    <t>&gt;  C2, C3</t>
  </si>
  <si>
    <t>27pF</t>
  </si>
  <si>
    <t>&gt;  C4, C18, C20, C21, C25, C35, C36, C44, C49</t>
  </si>
  <si>
    <t>0.1uF</t>
  </si>
  <si>
    <t>&gt;  C5-C7, C9, C11-C16</t>
  </si>
  <si>
    <t>100nF</t>
  </si>
  <si>
    <t>&gt;  C8, C10</t>
  </si>
  <si>
    <t>1uF</t>
  </si>
  <si>
    <t>&gt;  C17, C24, C28, C29, C31, C34</t>
  </si>
  <si>
    <t>10uF</t>
  </si>
  <si>
    <t>&gt;  C22, C23, C26, C27, C37, C45-C48</t>
  </si>
  <si>
    <t>10nF</t>
  </si>
  <si>
    <t>&gt;  C33, C40, C42</t>
  </si>
  <si>
    <t>&gt;  C38, C39</t>
  </si>
  <si>
    <t>1000uF</t>
  </si>
  <si>
    <t>&gt;  D2, D4, D6, D8</t>
  </si>
  <si>
    <t>LED yellow</t>
  </si>
  <si>
    <t>&gt;  D1, D3, D5, D7</t>
  </si>
  <si>
    <t>LED green</t>
  </si>
  <si>
    <t xml:space="preserve">    D9</t>
  </si>
  <si>
    <t xml:space="preserve">    D11</t>
  </si>
  <si>
    <t>LED</t>
  </si>
  <si>
    <t xml:space="preserve">    D12</t>
  </si>
  <si>
    <t>LED BLUE</t>
  </si>
  <si>
    <t xml:space="preserve">    D13</t>
  </si>
  <si>
    <t>LED YELLOW</t>
  </si>
  <si>
    <t xml:space="preserve">    D14</t>
  </si>
  <si>
    <t>LED GREEN</t>
  </si>
  <si>
    <t xml:space="preserve">    D15</t>
  </si>
  <si>
    <t>LED RED</t>
  </si>
  <si>
    <t>&gt;  H1-H4</t>
  </si>
  <si>
    <t>MountingHole</t>
  </si>
  <si>
    <t xml:space="preserve">    J1</t>
  </si>
  <si>
    <t>USB_C_Receptacle</t>
  </si>
  <si>
    <t>&gt;  J3-J7, J17</t>
  </si>
  <si>
    <t>Conn_01x02_Male</t>
  </si>
  <si>
    <t xml:space="preserve">    J11</t>
  </si>
  <si>
    <t>Conn_01x03_Male</t>
  </si>
  <si>
    <t>&gt;  J2, J8-J10, J12, J13</t>
  </si>
  <si>
    <t>Conn_01x04_Male</t>
  </si>
  <si>
    <t xml:space="preserve">    J14</t>
  </si>
  <si>
    <t xml:space="preserve">    J15</t>
  </si>
  <si>
    <t xml:space="preserve">    Q1</t>
  </si>
  <si>
    <t>1k</t>
  </si>
  <si>
    <t xml:space="preserve">    R2</t>
  </si>
  <si>
    <t>DNF</t>
  </si>
  <si>
    <t>&gt;  R3, R4</t>
  </si>
  <si>
    <t xml:space="preserve">    R6</t>
  </si>
  <si>
    <t>5k</t>
  </si>
  <si>
    <t>&gt;  R7, R14, R36</t>
  </si>
  <si>
    <t>&gt;  R12, R13, R19, R20</t>
  </si>
  <si>
    <t>5m</t>
  </si>
  <si>
    <t>&gt;  R21, R22, R25, R26, R37-R40</t>
  </si>
  <si>
    <t>16k</t>
  </si>
  <si>
    <t>&gt;  R30, R32, R34</t>
  </si>
  <si>
    <t>20k</t>
  </si>
  <si>
    <t>&gt;  R23, R24, R27-R29, R31, R33, R35, R41-R44</t>
  </si>
  <si>
    <t>10k</t>
  </si>
  <si>
    <t>&gt;  R45-R52</t>
  </si>
  <si>
    <t xml:space="preserve">    R56</t>
  </si>
  <si>
    <t>1.5k</t>
  </si>
  <si>
    <t>&gt;  R58, R59</t>
  </si>
  <si>
    <t>4.7k</t>
  </si>
  <si>
    <t>&gt;  R60, R61</t>
  </si>
  <si>
    <t>&gt;  SW1, SW2</t>
  </si>
  <si>
    <t>&gt;  U1, U8, U22</t>
  </si>
  <si>
    <t xml:space="preserve">    U2</t>
  </si>
  <si>
    <t>W25Q128JVPIQ TR</t>
  </si>
  <si>
    <t xml:space="preserve">    U3</t>
  </si>
  <si>
    <t>RP2040</t>
  </si>
  <si>
    <t>&gt;  U4, U6, U9, U11</t>
  </si>
  <si>
    <t>TB67H451</t>
  </si>
  <si>
    <t>&gt;  U5, U7, U10, U12</t>
  </si>
  <si>
    <t xml:space="preserve">    U13</t>
  </si>
  <si>
    <t>MCP602</t>
  </si>
  <si>
    <t xml:space="preserve">    U14</t>
  </si>
  <si>
    <t xml:space="preserve">    U15</t>
  </si>
  <si>
    <t>NCP1117-3.3_SOT223</t>
  </si>
  <si>
    <t xml:space="preserve">    U16</t>
  </si>
  <si>
    <t>MPU-6881</t>
  </si>
  <si>
    <t xml:space="preserve">    U17</t>
  </si>
  <si>
    <t xml:space="preserve">    U18</t>
  </si>
  <si>
    <t xml:space="preserve">    U20</t>
  </si>
  <si>
    <t>NCP360</t>
  </si>
  <si>
    <t xml:space="preserve">    Y1</t>
  </si>
  <si>
    <t>Reference</t>
    <phoneticPr fontId="1"/>
  </si>
  <si>
    <t>Value</t>
    <phoneticPr fontId="1"/>
  </si>
  <si>
    <t>数</t>
    <rPh sb="0" eb="1">
      <t>カズ</t>
    </rPh>
    <phoneticPr fontId="1"/>
  </si>
  <si>
    <t>Capacitor_SMD</t>
  </si>
  <si>
    <t>C_0805_2012Metric</t>
  </si>
  <si>
    <t>C_0402_1005Metric</t>
  </si>
  <si>
    <t>Capacitor_THT</t>
  </si>
  <si>
    <t>CP_Radial_D10.0mm_P5.00mm</t>
  </si>
  <si>
    <t>LED_SMD</t>
  </si>
  <si>
    <t>LED_0603_1608Metric</t>
  </si>
  <si>
    <t>Diode_SMD</t>
  </si>
  <si>
    <t>D_SMB</t>
  </si>
  <si>
    <t>MountingHole_2.7mm_M2.5</t>
  </si>
  <si>
    <t>Connector_USB</t>
  </si>
  <si>
    <t>Connector_JST</t>
  </si>
  <si>
    <t>JST_XH_B2B-XH-A_1x02_P2.50mm_Vertical</t>
  </si>
  <si>
    <t>JST_XH_B3B-XH-A_1x03_P2.50mm_Vertical</t>
  </si>
  <si>
    <t>connector_ZH</t>
  </si>
  <si>
    <t>JST_ZH_B4B_ZR</t>
  </si>
  <si>
    <t>JST_ZH_B3B_ZR</t>
  </si>
  <si>
    <t>Connector_PinHeader_2.54mm</t>
  </si>
  <si>
    <t>PinHeader_1x03_P2.54mm_Vertical</t>
  </si>
  <si>
    <t>Package_TO_SOT_SMD</t>
  </si>
  <si>
    <t>SOT-23</t>
  </si>
  <si>
    <t>Resistor_SMD</t>
  </si>
  <si>
    <t>R_0402_1005Metric</t>
  </si>
  <si>
    <t>R_1206_3216Metric</t>
  </si>
  <si>
    <t>R_0603_1608Metric</t>
  </si>
  <si>
    <t>SW_SKSGACE010</t>
  </si>
  <si>
    <t>Package_SON</t>
  </si>
  <si>
    <t>WSON-8-1EP_6x5mm_P1.27mm_EP3.4x4mm</t>
  </si>
  <si>
    <t>RP2040_minimal</t>
  </si>
  <si>
    <t>RP2040-QFN-56</t>
  </si>
  <si>
    <t>Package_SO</t>
  </si>
  <si>
    <t>SSOP-8_3.9x5.05mm_P1.27mm</t>
  </si>
  <si>
    <t>SOT-363_SC-70-6</t>
  </si>
  <si>
    <t>SOP-8_3.9x4.9mm_P1.27mm</t>
  </si>
  <si>
    <t>Package_DFN_QFN</t>
  </si>
  <si>
    <t>TQFN-28-1EP_5x5mm_P0.5mm_EP3.25x3.25mm</t>
  </si>
  <si>
    <t>SOT-223-3_TabPin2</t>
  </si>
  <si>
    <t>QFN-24-1EP_3x3mm_P0.4mm_EP1.75x1.6mm</t>
  </si>
  <si>
    <t>DFN-10-1EP_3x3mm_P0.5mm_EP1.55x2.48mm</t>
  </si>
  <si>
    <t>SOIC-8_3.9x4.9mm_P1.27mm</t>
  </si>
  <si>
    <t>TSOP-5_1.65x3.05mm_P0.95mm</t>
  </si>
  <si>
    <t>Crystal</t>
  </si>
  <si>
    <t>Crystal_SMD_SeikoEpson_FA238V-4Pin_3.2x2.5mm</t>
  </si>
  <si>
    <t>Unit</t>
    <phoneticPr fontId="1"/>
  </si>
  <si>
    <t>Package</t>
    <phoneticPr fontId="1"/>
  </si>
  <si>
    <t>在庫</t>
    <rPh sb="0" eb="2">
      <t>ザイコ</t>
    </rPh>
    <phoneticPr fontId="1"/>
  </si>
  <si>
    <t>o</t>
    <phoneticPr fontId="1"/>
  </si>
  <si>
    <t>&gt;  R1, R5, R8-R11, R15-R18, R53, R62-R65</t>
  </si>
  <si>
    <t>購入</t>
    <rPh sb="0" eb="2">
      <t>コウニュウ</t>
    </rPh>
    <phoneticPr fontId="1"/>
  </si>
  <si>
    <t>USB_C_Receptacle_Amphenol_12401610E4-2A</t>
    <phoneticPr fontId="1"/>
  </si>
  <si>
    <t>Mouser</t>
    <phoneticPr fontId="1"/>
  </si>
  <si>
    <t>税込み</t>
    <rPh sb="0" eb="2">
      <t>ゼイコ</t>
    </rPh>
    <phoneticPr fontId="1"/>
  </si>
  <si>
    <t>MAX11135xTI</t>
    <phoneticPr fontId="1"/>
  </si>
  <si>
    <t>INA214_SC70</t>
    <phoneticPr fontId="1"/>
  </si>
  <si>
    <t>秋月電子</t>
    <rPh sb="0" eb="2">
      <t>アキヅキ</t>
    </rPh>
    <rPh sb="2" eb="4">
      <t>デンシ</t>
    </rPh>
    <phoneticPr fontId="1"/>
  </si>
  <si>
    <t>単価</t>
    <rPh sb="0" eb="2">
      <t>タンカ</t>
    </rPh>
    <phoneticPr fontId="1"/>
  </si>
  <si>
    <t>合計</t>
    <rPh sb="0" eb="2">
      <t>ゴウケイ</t>
    </rPh>
    <phoneticPr fontId="1"/>
  </si>
  <si>
    <t>-</t>
    <phoneticPr fontId="1"/>
  </si>
  <si>
    <t>DMG3415</t>
    <phoneticPr fontId="1"/>
  </si>
  <si>
    <t>秋月電子</t>
    <rPh sb="0" eb="4">
      <t>アキヅキデンシ</t>
    </rPh>
    <phoneticPr fontId="1"/>
  </si>
  <si>
    <t>LM4040DBZ-3.0</t>
    <phoneticPr fontId="1"/>
  </si>
  <si>
    <t>FA-238 12MHz</t>
    <phoneticPr fontId="1"/>
  </si>
  <si>
    <t>MCP73213</t>
    <phoneticPr fontId="1"/>
  </si>
  <si>
    <t>SW_SKSG10</t>
    <phoneticPr fontId="1"/>
  </si>
  <si>
    <t>SW_SKSGACE010</t>
    <phoneticPr fontId="1"/>
  </si>
  <si>
    <t>digikey</t>
    <phoneticPr fontId="1"/>
  </si>
  <si>
    <t>ＳＲ５４Ｆ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</si>
</sst>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685F-541C-4C32-8170-42DEEECC9CFD}">
  <sheetPr filterMode="1"/>
  <dimension ref="A1:K53"/>
  <sheetViews>
    <sheetView tabSelected="1" zoomScale="85" zoomScaleNormal="85" workbookViewId="0">
      <selection activeCell="E14" sqref="E14"/>
    </sheetView>
  </sheetViews>
  <sheetFormatPr defaultRowHeight="18" x14ac:dyDescent="0.55000000000000004"/>
  <cols>
    <col min="1" max="1" width="42.6640625" bestFit="1" customWidth="1"/>
    <col min="2" max="2" width="20.6640625" bestFit="1" customWidth="1"/>
    <col min="3" max="3" width="28.5" bestFit="1" customWidth="1"/>
    <col min="4" max="4" width="47.58203125" bestFit="1" customWidth="1"/>
  </cols>
  <sheetData>
    <row r="1" spans="1:11" x14ac:dyDescent="0.55000000000000004">
      <c r="A1" t="s">
        <v>87</v>
      </c>
      <c r="B1" t="s">
        <v>88</v>
      </c>
      <c r="C1" t="s">
        <v>133</v>
      </c>
      <c r="D1" t="s">
        <v>134</v>
      </c>
      <c r="E1" t="s">
        <v>89</v>
      </c>
      <c r="F1" t="s">
        <v>135</v>
      </c>
      <c r="G1" t="s">
        <v>138</v>
      </c>
      <c r="H1" t="s">
        <v>145</v>
      </c>
      <c r="J1" t="s">
        <v>146</v>
      </c>
      <c r="K1" t="s">
        <v>141</v>
      </c>
    </row>
    <row r="2" spans="1:11" hidden="1" x14ac:dyDescent="0.55000000000000004">
      <c r="A2" t="s">
        <v>0</v>
      </c>
      <c r="B2" t="s">
        <v>1</v>
      </c>
      <c r="C2" t="s">
        <v>90</v>
      </c>
      <c r="D2" t="s">
        <v>91</v>
      </c>
      <c r="E2">
        <v>2</v>
      </c>
      <c r="F2" t="s">
        <v>136</v>
      </c>
      <c r="J2">
        <f>H2*G2</f>
        <v>0</v>
      </c>
      <c r="K2">
        <f>J2*1.1</f>
        <v>0</v>
      </c>
    </row>
    <row r="3" spans="1:11" hidden="1" x14ac:dyDescent="0.55000000000000004">
      <c r="A3" t="s">
        <v>2</v>
      </c>
      <c r="B3" t="s">
        <v>3</v>
      </c>
      <c r="C3" t="s">
        <v>90</v>
      </c>
      <c r="D3" t="s">
        <v>92</v>
      </c>
      <c r="E3">
        <v>2</v>
      </c>
      <c r="G3">
        <v>10</v>
      </c>
      <c r="H3">
        <v>6.5</v>
      </c>
      <c r="I3" t="s">
        <v>155</v>
      </c>
      <c r="J3">
        <f t="shared" ref="J3:J53" si="0">H3*G3</f>
        <v>65</v>
      </c>
      <c r="K3">
        <f t="shared" ref="K3:K6" si="1">IF(I3="digikey", J3, INT(J3*1.1))</f>
        <v>65</v>
      </c>
    </row>
    <row r="4" spans="1:11" hidden="1" x14ac:dyDescent="0.55000000000000004">
      <c r="A4" t="s">
        <v>4</v>
      </c>
      <c r="B4" t="s">
        <v>5</v>
      </c>
      <c r="C4" t="s">
        <v>90</v>
      </c>
      <c r="D4" t="s">
        <v>92</v>
      </c>
      <c r="E4">
        <v>9</v>
      </c>
      <c r="G4">
        <v>200</v>
      </c>
      <c r="H4">
        <v>2.5</v>
      </c>
      <c r="I4" t="s">
        <v>155</v>
      </c>
      <c r="J4">
        <f t="shared" si="0"/>
        <v>500</v>
      </c>
      <c r="K4">
        <f t="shared" si="1"/>
        <v>500</v>
      </c>
    </row>
    <row r="5" spans="1:11" hidden="1" x14ac:dyDescent="0.55000000000000004">
      <c r="A5" t="s">
        <v>6</v>
      </c>
      <c r="B5" t="s">
        <v>7</v>
      </c>
      <c r="C5" t="s">
        <v>90</v>
      </c>
      <c r="D5" t="s">
        <v>92</v>
      </c>
      <c r="E5">
        <v>10</v>
      </c>
      <c r="F5" t="s">
        <v>147</v>
      </c>
      <c r="G5">
        <v>0</v>
      </c>
      <c r="H5">
        <v>0</v>
      </c>
      <c r="J5">
        <f t="shared" si="0"/>
        <v>0</v>
      </c>
      <c r="K5">
        <f t="shared" si="1"/>
        <v>0</v>
      </c>
    </row>
    <row r="6" spans="1:11" hidden="1" x14ac:dyDescent="0.55000000000000004">
      <c r="A6" t="s">
        <v>8</v>
      </c>
      <c r="B6" t="s">
        <v>9</v>
      </c>
      <c r="C6" t="s">
        <v>90</v>
      </c>
      <c r="D6" t="s">
        <v>92</v>
      </c>
      <c r="E6">
        <v>2</v>
      </c>
      <c r="G6">
        <v>50</v>
      </c>
      <c r="H6">
        <v>7.3</v>
      </c>
      <c r="I6" t="s">
        <v>155</v>
      </c>
      <c r="J6">
        <f t="shared" si="0"/>
        <v>365</v>
      </c>
      <c r="K6">
        <f t="shared" si="1"/>
        <v>365</v>
      </c>
    </row>
    <row r="7" spans="1:11" hidden="1" x14ac:dyDescent="0.55000000000000004">
      <c r="A7" t="s">
        <v>10</v>
      </c>
      <c r="B7" t="s">
        <v>11</v>
      </c>
      <c r="C7" t="s">
        <v>90</v>
      </c>
      <c r="D7" t="s">
        <v>91</v>
      </c>
      <c r="E7">
        <v>6</v>
      </c>
      <c r="F7" t="s">
        <v>136</v>
      </c>
      <c r="J7">
        <f t="shared" si="0"/>
        <v>0</v>
      </c>
      <c r="K7">
        <f t="shared" ref="K7:K51" si="2">J7*1.1</f>
        <v>0</v>
      </c>
    </row>
    <row r="8" spans="1:11" hidden="1" x14ac:dyDescent="0.55000000000000004">
      <c r="A8" t="s">
        <v>12</v>
      </c>
      <c r="B8" t="s">
        <v>13</v>
      </c>
      <c r="C8" t="s">
        <v>90</v>
      </c>
      <c r="D8" t="s">
        <v>92</v>
      </c>
      <c r="E8">
        <v>9</v>
      </c>
      <c r="G8">
        <v>100</v>
      </c>
      <c r="H8">
        <v>1.9</v>
      </c>
      <c r="I8" t="s">
        <v>155</v>
      </c>
      <c r="J8">
        <f t="shared" si="0"/>
        <v>190</v>
      </c>
      <c r="K8">
        <f t="shared" ref="K8" si="3">IF(I8="digikey", J8, INT(J8*1.1))</f>
        <v>190</v>
      </c>
    </row>
    <row r="9" spans="1:11" hidden="1" x14ac:dyDescent="0.55000000000000004">
      <c r="A9" t="s">
        <v>14</v>
      </c>
      <c r="B9" t="s">
        <v>9</v>
      </c>
      <c r="C9" t="s">
        <v>90</v>
      </c>
      <c r="D9" t="s">
        <v>91</v>
      </c>
      <c r="E9">
        <v>3</v>
      </c>
      <c r="F9" t="s">
        <v>136</v>
      </c>
      <c r="J9">
        <f t="shared" si="0"/>
        <v>0</v>
      </c>
      <c r="K9">
        <f t="shared" si="2"/>
        <v>0</v>
      </c>
    </row>
    <row r="10" spans="1:11" hidden="1" x14ac:dyDescent="0.55000000000000004">
      <c r="A10" t="s">
        <v>15</v>
      </c>
      <c r="B10" t="s">
        <v>16</v>
      </c>
      <c r="C10" t="s">
        <v>93</v>
      </c>
      <c r="D10" t="s">
        <v>94</v>
      </c>
      <c r="E10">
        <v>2</v>
      </c>
      <c r="F10" t="s">
        <v>136</v>
      </c>
      <c r="J10">
        <f t="shared" si="0"/>
        <v>0</v>
      </c>
      <c r="K10">
        <f t="shared" si="2"/>
        <v>0</v>
      </c>
    </row>
    <row r="11" spans="1:11" hidden="1" x14ac:dyDescent="0.55000000000000004">
      <c r="A11" t="s">
        <v>17</v>
      </c>
      <c r="B11" t="s">
        <v>18</v>
      </c>
      <c r="C11" t="s">
        <v>95</v>
      </c>
      <c r="D11" t="s">
        <v>96</v>
      </c>
      <c r="E11">
        <v>4</v>
      </c>
      <c r="F11" t="s">
        <v>147</v>
      </c>
      <c r="G11">
        <v>0</v>
      </c>
      <c r="H11">
        <v>0</v>
      </c>
      <c r="J11">
        <f t="shared" si="0"/>
        <v>0</v>
      </c>
      <c r="K11">
        <f t="shared" ref="K11:K18" si="4">IF(I11="digikey", J11, INT(J11*1.1))</f>
        <v>0</v>
      </c>
    </row>
    <row r="12" spans="1:11" hidden="1" x14ac:dyDescent="0.55000000000000004">
      <c r="A12" t="s">
        <v>19</v>
      </c>
      <c r="B12" t="s">
        <v>20</v>
      </c>
      <c r="C12" t="s">
        <v>95</v>
      </c>
      <c r="D12" t="s">
        <v>96</v>
      </c>
      <c r="E12">
        <v>4</v>
      </c>
      <c r="F12" t="s">
        <v>147</v>
      </c>
      <c r="G12">
        <v>0</v>
      </c>
      <c r="H12">
        <v>0</v>
      </c>
      <c r="J12">
        <f t="shared" si="0"/>
        <v>0</v>
      </c>
      <c r="K12">
        <f t="shared" si="4"/>
        <v>0</v>
      </c>
    </row>
    <row r="13" spans="1:11" x14ac:dyDescent="0.55000000000000004">
      <c r="A13" t="s">
        <v>21</v>
      </c>
      <c r="B13" t="s">
        <v>156</v>
      </c>
      <c r="C13" t="s">
        <v>97</v>
      </c>
      <c r="D13" t="s">
        <v>98</v>
      </c>
      <c r="E13">
        <v>1</v>
      </c>
      <c r="G13">
        <v>10</v>
      </c>
      <c r="H13">
        <v>25</v>
      </c>
      <c r="I13" t="s">
        <v>144</v>
      </c>
      <c r="J13">
        <f t="shared" si="0"/>
        <v>250</v>
      </c>
      <c r="K13">
        <f t="shared" si="4"/>
        <v>275</v>
      </c>
    </row>
    <row r="14" spans="1:11" x14ac:dyDescent="0.55000000000000004">
      <c r="A14" t="s">
        <v>22</v>
      </c>
      <c r="B14" t="s">
        <v>23</v>
      </c>
      <c r="C14" t="s">
        <v>95</v>
      </c>
      <c r="D14" t="s">
        <v>96</v>
      </c>
      <c r="E14">
        <v>1</v>
      </c>
      <c r="G14">
        <v>40</v>
      </c>
      <c r="H14">
        <v>10</v>
      </c>
      <c r="I14" t="s">
        <v>144</v>
      </c>
      <c r="J14">
        <f t="shared" si="0"/>
        <v>400</v>
      </c>
      <c r="K14">
        <f t="shared" si="4"/>
        <v>440</v>
      </c>
    </row>
    <row r="15" spans="1:11" x14ac:dyDescent="0.55000000000000004">
      <c r="A15" t="s">
        <v>24</v>
      </c>
      <c r="B15" t="s">
        <v>25</v>
      </c>
      <c r="C15" t="s">
        <v>95</v>
      </c>
      <c r="D15" t="s">
        <v>96</v>
      </c>
      <c r="E15">
        <v>1</v>
      </c>
      <c r="G15">
        <v>40</v>
      </c>
      <c r="H15">
        <v>12</v>
      </c>
      <c r="I15" t="s">
        <v>144</v>
      </c>
      <c r="J15">
        <f t="shared" si="0"/>
        <v>480</v>
      </c>
      <c r="K15">
        <f t="shared" si="4"/>
        <v>528</v>
      </c>
    </row>
    <row r="16" spans="1:11" x14ac:dyDescent="0.55000000000000004">
      <c r="A16" t="s">
        <v>26</v>
      </c>
      <c r="B16" t="s">
        <v>27</v>
      </c>
      <c r="C16" t="s">
        <v>95</v>
      </c>
      <c r="D16" t="s">
        <v>96</v>
      </c>
      <c r="E16">
        <v>1</v>
      </c>
      <c r="G16">
        <v>40</v>
      </c>
      <c r="H16">
        <v>10</v>
      </c>
      <c r="I16" t="s">
        <v>144</v>
      </c>
      <c r="J16">
        <f t="shared" si="0"/>
        <v>400</v>
      </c>
      <c r="K16">
        <f t="shared" si="4"/>
        <v>440</v>
      </c>
    </row>
    <row r="17" spans="1:11" x14ac:dyDescent="0.55000000000000004">
      <c r="A17" t="s">
        <v>28</v>
      </c>
      <c r="B17" t="s">
        <v>29</v>
      </c>
      <c r="C17" t="s">
        <v>95</v>
      </c>
      <c r="D17" t="s">
        <v>96</v>
      </c>
      <c r="E17">
        <v>1</v>
      </c>
      <c r="G17">
        <v>40</v>
      </c>
      <c r="H17">
        <v>10</v>
      </c>
      <c r="I17" t="s">
        <v>144</v>
      </c>
      <c r="J17">
        <f t="shared" si="0"/>
        <v>400</v>
      </c>
      <c r="K17">
        <f t="shared" si="4"/>
        <v>440</v>
      </c>
    </row>
    <row r="18" spans="1:11" x14ac:dyDescent="0.55000000000000004">
      <c r="A18" t="s">
        <v>30</v>
      </c>
      <c r="B18" t="s">
        <v>31</v>
      </c>
      <c r="C18" t="s">
        <v>95</v>
      </c>
      <c r="D18" t="s">
        <v>96</v>
      </c>
      <c r="E18">
        <v>1</v>
      </c>
      <c r="G18">
        <v>40</v>
      </c>
      <c r="H18">
        <v>10</v>
      </c>
      <c r="I18" t="s">
        <v>144</v>
      </c>
      <c r="J18">
        <f t="shared" si="0"/>
        <v>400</v>
      </c>
      <c r="K18">
        <f t="shared" si="4"/>
        <v>440</v>
      </c>
    </row>
    <row r="19" spans="1:11" hidden="1" x14ac:dyDescent="0.55000000000000004">
      <c r="A19" t="s">
        <v>32</v>
      </c>
      <c r="B19" t="s">
        <v>33</v>
      </c>
      <c r="C19" t="s">
        <v>33</v>
      </c>
      <c r="D19" t="s">
        <v>99</v>
      </c>
      <c r="E19">
        <v>4</v>
      </c>
      <c r="F19" t="s">
        <v>147</v>
      </c>
      <c r="G19">
        <v>0</v>
      </c>
      <c r="H19">
        <v>0</v>
      </c>
      <c r="I19" t="s">
        <v>147</v>
      </c>
      <c r="J19">
        <f t="shared" si="0"/>
        <v>0</v>
      </c>
      <c r="K19">
        <f t="shared" si="2"/>
        <v>0</v>
      </c>
    </row>
    <row r="20" spans="1:11" hidden="1" x14ac:dyDescent="0.55000000000000004">
      <c r="A20" t="s">
        <v>34</v>
      </c>
      <c r="B20" t="s">
        <v>35</v>
      </c>
      <c r="C20" t="s">
        <v>100</v>
      </c>
      <c r="D20" t="s">
        <v>139</v>
      </c>
      <c r="E20">
        <v>1</v>
      </c>
      <c r="G20">
        <v>5</v>
      </c>
      <c r="H20">
        <v>212</v>
      </c>
      <c r="I20" t="s">
        <v>140</v>
      </c>
      <c r="J20">
        <f t="shared" si="0"/>
        <v>1060</v>
      </c>
      <c r="K20">
        <f t="shared" ref="K20" si="5">IF(I20="digikey", J20, INT(J20*1.1))</f>
        <v>1166</v>
      </c>
    </row>
    <row r="21" spans="1:11" hidden="1" x14ac:dyDescent="0.55000000000000004">
      <c r="A21" t="s">
        <v>36</v>
      </c>
      <c r="B21" t="s">
        <v>37</v>
      </c>
      <c r="C21" t="s">
        <v>101</v>
      </c>
      <c r="D21" t="s">
        <v>102</v>
      </c>
      <c r="E21">
        <v>6</v>
      </c>
      <c r="F21" t="s">
        <v>136</v>
      </c>
      <c r="G21">
        <v>0</v>
      </c>
      <c r="H21">
        <v>0</v>
      </c>
      <c r="J21">
        <f t="shared" si="0"/>
        <v>0</v>
      </c>
      <c r="K21">
        <f t="shared" si="2"/>
        <v>0</v>
      </c>
    </row>
    <row r="22" spans="1:11" hidden="1" x14ac:dyDescent="0.55000000000000004">
      <c r="A22" t="s">
        <v>38</v>
      </c>
      <c r="B22" t="s">
        <v>39</v>
      </c>
      <c r="C22" t="s">
        <v>101</v>
      </c>
      <c r="D22" t="s">
        <v>103</v>
      </c>
      <c r="E22">
        <v>1</v>
      </c>
      <c r="F22" t="s">
        <v>136</v>
      </c>
      <c r="G22">
        <v>0</v>
      </c>
      <c r="H22">
        <v>0</v>
      </c>
      <c r="J22">
        <f t="shared" si="0"/>
        <v>0</v>
      </c>
      <c r="K22">
        <f t="shared" si="2"/>
        <v>0</v>
      </c>
    </row>
    <row r="23" spans="1:11" x14ac:dyDescent="0.55000000000000004">
      <c r="A23" t="s">
        <v>40</v>
      </c>
      <c r="B23" t="s">
        <v>41</v>
      </c>
      <c r="C23" t="s">
        <v>104</v>
      </c>
      <c r="D23" t="s">
        <v>105</v>
      </c>
      <c r="E23">
        <v>6</v>
      </c>
      <c r="G23">
        <v>10</v>
      </c>
      <c r="H23">
        <v>20</v>
      </c>
      <c r="I23" t="s">
        <v>144</v>
      </c>
      <c r="J23">
        <f t="shared" si="0"/>
        <v>200</v>
      </c>
      <c r="K23">
        <f t="shared" ref="K23:K24" si="6">IF(I23="digikey", J23, INT(J23*1.1))</f>
        <v>220</v>
      </c>
    </row>
    <row r="24" spans="1:11" x14ac:dyDescent="0.55000000000000004">
      <c r="A24" t="s">
        <v>42</v>
      </c>
      <c r="B24" t="s">
        <v>39</v>
      </c>
      <c r="C24" t="s">
        <v>104</v>
      </c>
      <c r="D24" t="s">
        <v>106</v>
      </c>
      <c r="E24">
        <v>1</v>
      </c>
      <c r="G24">
        <v>10</v>
      </c>
      <c r="H24">
        <v>20</v>
      </c>
      <c r="I24" t="s">
        <v>144</v>
      </c>
      <c r="J24">
        <f t="shared" si="0"/>
        <v>200</v>
      </c>
      <c r="K24">
        <f t="shared" si="6"/>
        <v>220</v>
      </c>
    </row>
    <row r="25" spans="1:11" hidden="1" x14ac:dyDescent="0.55000000000000004">
      <c r="A25" t="s">
        <v>43</v>
      </c>
      <c r="B25" t="s">
        <v>39</v>
      </c>
      <c r="C25" t="s">
        <v>107</v>
      </c>
      <c r="D25" t="s">
        <v>108</v>
      </c>
      <c r="E25">
        <v>1</v>
      </c>
      <c r="F25" t="s">
        <v>136</v>
      </c>
      <c r="J25">
        <f t="shared" si="0"/>
        <v>0</v>
      </c>
      <c r="K25">
        <f t="shared" si="2"/>
        <v>0</v>
      </c>
    </row>
    <row r="26" spans="1:11" x14ac:dyDescent="0.55000000000000004">
      <c r="A26" t="s">
        <v>44</v>
      </c>
      <c r="B26" t="s">
        <v>148</v>
      </c>
      <c r="C26" t="s">
        <v>109</v>
      </c>
      <c r="D26" t="s">
        <v>110</v>
      </c>
      <c r="E26">
        <v>1</v>
      </c>
      <c r="G26">
        <v>10</v>
      </c>
      <c r="H26">
        <v>30</v>
      </c>
      <c r="I26" t="s">
        <v>149</v>
      </c>
      <c r="J26">
        <f t="shared" si="0"/>
        <v>300</v>
      </c>
      <c r="K26">
        <f t="shared" ref="K26:K33" si="7">IF(I26="digikey", J26, INT(J26*1.1))</f>
        <v>330</v>
      </c>
    </row>
    <row r="27" spans="1:11" hidden="1" x14ac:dyDescent="0.55000000000000004">
      <c r="A27" t="s">
        <v>46</v>
      </c>
      <c r="B27" t="s">
        <v>47</v>
      </c>
      <c r="C27" t="s">
        <v>111</v>
      </c>
      <c r="D27" t="s">
        <v>112</v>
      </c>
      <c r="E27">
        <v>1</v>
      </c>
      <c r="F27" t="s">
        <v>147</v>
      </c>
      <c r="G27">
        <v>0</v>
      </c>
      <c r="H27">
        <v>0</v>
      </c>
      <c r="I27">
        <v>0</v>
      </c>
      <c r="J27">
        <f t="shared" si="0"/>
        <v>0</v>
      </c>
      <c r="K27">
        <f t="shared" si="7"/>
        <v>0</v>
      </c>
    </row>
    <row r="28" spans="1:11" hidden="1" x14ac:dyDescent="0.55000000000000004">
      <c r="A28" t="s">
        <v>48</v>
      </c>
      <c r="B28">
        <v>27</v>
      </c>
      <c r="C28" t="s">
        <v>111</v>
      </c>
      <c r="D28" t="s">
        <v>112</v>
      </c>
      <c r="E28">
        <v>2</v>
      </c>
      <c r="G28">
        <v>100</v>
      </c>
      <c r="H28">
        <v>1.72</v>
      </c>
      <c r="I28" t="s">
        <v>155</v>
      </c>
      <c r="J28">
        <f t="shared" si="0"/>
        <v>172</v>
      </c>
      <c r="K28">
        <f t="shared" si="7"/>
        <v>172</v>
      </c>
    </row>
    <row r="29" spans="1:11" hidden="1" x14ac:dyDescent="0.55000000000000004">
      <c r="A29" t="s">
        <v>49</v>
      </c>
      <c r="B29" t="s">
        <v>50</v>
      </c>
      <c r="C29" t="s">
        <v>111</v>
      </c>
      <c r="D29" t="s">
        <v>112</v>
      </c>
      <c r="E29">
        <v>1</v>
      </c>
      <c r="G29">
        <v>100</v>
      </c>
      <c r="H29">
        <v>0.59</v>
      </c>
      <c r="I29" t="s">
        <v>155</v>
      </c>
      <c r="J29">
        <f t="shared" si="0"/>
        <v>59</v>
      </c>
      <c r="K29">
        <f t="shared" si="7"/>
        <v>59</v>
      </c>
    </row>
    <row r="30" spans="1:11" hidden="1" x14ac:dyDescent="0.55000000000000004">
      <c r="A30" t="s">
        <v>51</v>
      </c>
      <c r="B30">
        <v>100</v>
      </c>
      <c r="C30" t="s">
        <v>111</v>
      </c>
      <c r="D30" t="s">
        <v>112</v>
      </c>
      <c r="E30">
        <v>3</v>
      </c>
      <c r="G30">
        <v>100</v>
      </c>
      <c r="H30">
        <v>1.83</v>
      </c>
      <c r="I30" t="s">
        <v>155</v>
      </c>
      <c r="J30">
        <f t="shared" si="0"/>
        <v>183</v>
      </c>
      <c r="K30">
        <f t="shared" si="7"/>
        <v>183</v>
      </c>
    </row>
    <row r="31" spans="1:11" hidden="1" x14ac:dyDescent="0.55000000000000004">
      <c r="A31" t="s">
        <v>52</v>
      </c>
      <c r="B31" t="s">
        <v>53</v>
      </c>
      <c r="C31" t="s">
        <v>111</v>
      </c>
      <c r="D31" t="s">
        <v>113</v>
      </c>
      <c r="E31">
        <v>4</v>
      </c>
      <c r="G31">
        <v>10</v>
      </c>
      <c r="H31">
        <v>64.5</v>
      </c>
      <c r="I31" t="s">
        <v>155</v>
      </c>
      <c r="J31">
        <f t="shared" si="0"/>
        <v>645</v>
      </c>
      <c r="K31">
        <f t="shared" si="7"/>
        <v>645</v>
      </c>
    </row>
    <row r="32" spans="1:11" hidden="1" x14ac:dyDescent="0.55000000000000004">
      <c r="A32" t="s">
        <v>54</v>
      </c>
      <c r="B32" t="s">
        <v>55</v>
      </c>
      <c r="C32" t="s">
        <v>111</v>
      </c>
      <c r="D32" t="s">
        <v>112</v>
      </c>
      <c r="E32">
        <v>8</v>
      </c>
      <c r="G32">
        <v>100</v>
      </c>
      <c r="H32">
        <v>0.8</v>
      </c>
      <c r="I32" t="s">
        <v>155</v>
      </c>
      <c r="J32">
        <f t="shared" si="0"/>
        <v>80</v>
      </c>
      <c r="K32">
        <f t="shared" si="7"/>
        <v>80</v>
      </c>
    </row>
    <row r="33" spans="1:11" hidden="1" x14ac:dyDescent="0.55000000000000004">
      <c r="A33" t="s">
        <v>56</v>
      </c>
      <c r="B33" t="s">
        <v>57</v>
      </c>
      <c r="C33" t="s">
        <v>111</v>
      </c>
      <c r="D33" t="s">
        <v>112</v>
      </c>
      <c r="E33">
        <v>3</v>
      </c>
      <c r="G33">
        <v>100</v>
      </c>
      <c r="H33">
        <v>3.87</v>
      </c>
      <c r="I33" t="s">
        <v>155</v>
      </c>
      <c r="J33">
        <f t="shared" si="0"/>
        <v>387</v>
      </c>
      <c r="K33">
        <f t="shared" si="7"/>
        <v>387</v>
      </c>
    </row>
    <row r="34" spans="1:11" hidden="1" x14ac:dyDescent="0.55000000000000004">
      <c r="A34" t="s">
        <v>58</v>
      </c>
      <c r="B34" t="s">
        <v>59</v>
      </c>
      <c r="C34" t="s">
        <v>111</v>
      </c>
      <c r="D34" t="s">
        <v>112</v>
      </c>
      <c r="E34">
        <v>12</v>
      </c>
      <c r="F34" t="s">
        <v>136</v>
      </c>
      <c r="J34">
        <f t="shared" si="0"/>
        <v>0</v>
      </c>
      <c r="K34">
        <f t="shared" si="2"/>
        <v>0</v>
      </c>
    </row>
    <row r="35" spans="1:11" hidden="1" x14ac:dyDescent="0.55000000000000004">
      <c r="A35" t="s">
        <v>60</v>
      </c>
      <c r="B35">
        <v>33</v>
      </c>
      <c r="C35" t="s">
        <v>111</v>
      </c>
      <c r="D35" t="s">
        <v>112</v>
      </c>
      <c r="E35">
        <v>8</v>
      </c>
      <c r="G35">
        <v>100</v>
      </c>
      <c r="H35">
        <v>4.17</v>
      </c>
      <c r="I35" t="s">
        <v>155</v>
      </c>
      <c r="J35">
        <f t="shared" si="0"/>
        <v>417</v>
      </c>
      <c r="K35">
        <f t="shared" ref="K35:K38" si="8">IF(I35="digikey", J35, INT(J35*1.1))</f>
        <v>417</v>
      </c>
    </row>
    <row r="36" spans="1:11" hidden="1" x14ac:dyDescent="0.55000000000000004">
      <c r="A36" t="s">
        <v>61</v>
      </c>
      <c r="B36" t="s">
        <v>62</v>
      </c>
      <c r="C36" t="s">
        <v>111</v>
      </c>
      <c r="D36" t="s">
        <v>112</v>
      </c>
      <c r="E36">
        <v>1</v>
      </c>
      <c r="G36">
        <v>100</v>
      </c>
      <c r="H36">
        <v>2.04</v>
      </c>
      <c r="I36" t="s">
        <v>155</v>
      </c>
      <c r="J36">
        <f t="shared" si="0"/>
        <v>204</v>
      </c>
      <c r="K36">
        <f t="shared" si="8"/>
        <v>204</v>
      </c>
    </row>
    <row r="37" spans="1:11" hidden="1" x14ac:dyDescent="0.55000000000000004">
      <c r="A37" t="s">
        <v>63</v>
      </c>
      <c r="B37" t="s">
        <v>64</v>
      </c>
      <c r="C37" t="s">
        <v>111</v>
      </c>
      <c r="D37" t="s">
        <v>112</v>
      </c>
      <c r="E37">
        <v>2</v>
      </c>
      <c r="G37">
        <v>100</v>
      </c>
      <c r="H37">
        <v>1.91</v>
      </c>
      <c r="I37" t="s">
        <v>155</v>
      </c>
      <c r="J37">
        <f t="shared" si="0"/>
        <v>191</v>
      </c>
      <c r="K37">
        <f t="shared" si="8"/>
        <v>191</v>
      </c>
    </row>
    <row r="38" spans="1:11" hidden="1" x14ac:dyDescent="0.55000000000000004">
      <c r="A38" t="s">
        <v>65</v>
      </c>
      <c r="B38" t="s">
        <v>64</v>
      </c>
      <c r="C38" t="s">
        <v>111</v>
      </c>
      <c r="D38" t="s">
        <v>114</v>
      </c>
      <c r="E38">
        <v>2</v>
      </c>
      <c r="G38">
        <v>100</v>
      </c>
      <c r="H38">
        <v>2.12</v>
      </c>
      <c r="I38" t="s">
        <v>155</v>
      </c>
      <c r="J38">
        <f t="shared" si="0"/>
        <v>212</v>
      </c>
      <c r="K38">
        <f t="shared" si="8"/>
        <v>212</v>
      </c>
    </row>
    <row r="39" spans="1:11" hidden="1" x14ac:dyDescent="0.55000000000000004">
      <c r="A39" t="s">
        <v>137</v>
      </c>
      <c r="B39" t="s">
        <v>45</v>
      </c>
      <c r="C39" t="s">
        <v>111</v>
      </c>
      <c r="D39" t="s">
        <v>112</v>
      </c>
      <c r="E39">
        <v>15</v>
      </c>
      <c r="F39" t="s">
        <v>136</v>
      </c>
      <c r="J39">
        <f t="shared" si="0"/>
        <v>0</v>
      </c>
      <c r="K39">
        <f t="shared" si="2"/>
        <v>0</v>
      </c>
    </row>
    <row r="40" spans="1:11" hidden="1" x14ac:dyDescent="0.55000000000000004">
      <c r="A40" t="s">
        <v>66</v>
      </c>
      <c r="B40" t="s">
        <v>153</v>
      </c>
      <c r="C40" t="s">
        <v>154</v>
      </c>
      <c r="D40" t="s">
        <v>115</v>
      </c>
      <c r="E40">
        <v>2</v>
      </c>
      <c r="G40">
        <v>10</v>
      </c>
      <c r="H40">
        <v>70.5</v>
      </c>
      <c r="I40" t="s">
        <v>140</v>
      </c>
      <c r="J40">
        <f t="shared" si="0"/>
        <v>705</v>
      </c>
      <c r="K40">
        <f t="shared" ref="K40:K42" si="9">IF(I40="digikey", J40, INT(J40*1.1))</f>
        <v>775</v>
      </c>
    </row>
    <row r="41" spans="1:11" hidden="1" x14ac:dyDescent="0.55000000000000004">
      <c r="A41" t="s">
        <v>67</v>
      </c>
      <c r="B41" t="s">
        <v>150</v>
      </c>
      <c r="C41" t="s">
        <v>109</v>
      </c>
      <c r="D41" t="s">
        <v>110</v>
      </c>
      <c r="E41">
        <v>3</v>
      </c>
      <c r="G41">
        <v>10</v>
      </c>
      <c r="H41">
        <v>74.900000000000006</v>
      </c>
      <c r="I41" t="s">
        <v>140</v>
      </c>
      <c r="J41">
        <f t="shared" si="0"/>
        <v>749</v>
      </c>
      <c r="K41">
        <f t="shared" si="9"/>
        <v>823</v>
      </c>
    </row>
    <row r="42" spans="1:11" hidden="1" x14ac:dyDescent="0.55000000000000004">
      <c r="A42" t="s">
        <v>68</v>
      </c>
      <c r="B42" t="s">
        <v>69</v>
      </c>
      <c r="C42" t="s">
        <v>116</v>
      </c>
      <c r="D42" t="s">
        <v>117</v>
      </c>
      <c r="E42">
        <v>1</v>
      </c>
      <c r="G42">
        <v>5</v>
      </c>
      <c r="H42">
        <v>250</v>
      </c>
      <c r="I42" t="s">
        <v>140</v>
      </c>
      <c r="J42">
        <f t="shared" si="0"/>
        <v>1250</v>
      </c>
      <c r="K42">
        <f t="shared" si="9"/>
        <v>1375</v>
      </c>
    </row>
    <row r="43" spans="1:11" hidden="1" x14ac:dyDescent="0.55000000000000004">
      <c r="A43" t="s">
        <v>70</v>
      </c>
      <c r="B43" t="s">
        <v>71</v>
      </c>
      <c r="C43" t="s">
        <v>118</v>
      </c>
      <c r="D43" t="s">
        <v>119</v>
      </c>
      <c r="E43">
        <v>1</v>
      </c>
      <c r="F43" t="s">
        <v>136</v>
      </c>
      <c r="J43">
        <f t="shared" si="0"/>
        <v>0</v>
      </c>
      <c r="K43">
        <f t="shared" si="2"/>
        <v>0</v>
      </c>
    </row>
    <row r="44" spans="1:11" hidden="1" x14ac:dyDescent="0.55000000000000004">
      <c r="A44" t="s">
        <v>72</v>
      </c>
      <c r="B44" t="s">
        <v>73</v>
      </c>
      <c r="C44" t="s">
        <v>120</v>
      </c>
      <c r="D44" t="s">
        <v>121</v>
      </c>
      <c r="E44">
        <v>4</v>
      </c>
      <c r="G44">
        <v>10</v>
      </c>
      <c r="H44">
        <v>173</v>
      </c>
      <c r="I44" t="s">
        <v>140</v>
      </c>
      <c r="J44">
        <f t="shared" si="0"/>
        <v>1730</v>
      </c>
      <c r="K44">
        <f t="shared" ref="K44" si="10">IF(I44="digikey", J44, INT(J44*1.1))</f>
        <v>1903</v>
      </c>
    </row>
    <row r="45" spans="1:11" hidden="1" x14ac:dyDescent="0.55000000000000004">
      <c r="A45" t="s">
        <v>74</v>
      </c>
      <c r="B45" t="s">
        <v>143</v>
      </c>
      <c r="C45" t="s">
        <v>109</v>
      </c>
      <c r="D45" t="s">
        <v>122</v>
      </c>
      <c r="E45">
        <v>4</v>
      </c>
      <c r="F45" t="s">
        <v>136</v>
      </c>
      <c r="J45">
        <f t="shared" si="0"/>
        <v>0</v>
      </c>
      <c r="K45">
        <f t="shared" si="2"/>
        <v>0</v>
      </c>
    </row>
    <row r="46" spans="1:11" hidden="1" x14ac:dyDescent="0.55000000000000004">
      <c r="A46" t="s">
        <v>75</v>
      </c>
      <c r="B46" t="s">
        <v>76</v>
      </c>
      <c r="C46" t="s">
        <v>120</v>
      </c>
      <c r="D46" t="s">
        <v>123</v>
      </c>
      <c r="E46">
        <v>1</v>
      </c>
      <c r="F46" t="s">
        <v>136</v>
      </c>
      <c r="J46">
        <f t="shared" si="0"/>
        <v>0</v>
      </c>
      <c r="K46">
        <f t="shared" si="2"/>
        <v>0</v>
      </c>
    </row>
    <row r="47" spans="1:11" hidden="1" x14ac:dyDescent="0.55000000000000004">
      <c r="A47" t="s">
        <v>77</v>
      </c>
      <c r="B47" t="s">
        <v>142</v>
      </c>
      <c r="C47" t="s">
        <v>124</v>
      </c>
      <c r="D47" t="s">
        <v>125</v>
      </c>
      <c r="E47">
        <v>1</v>
      </c>
      <c r="G47">
        <v>4</v>
      </c>
      <c r="H47">
        <v>683</v>
      </c>
      <c r="I47" t="s">
        <v>140</v>
      </c>
      <c r="J47">
        <f t="shared" si="0"/>
        <v>2732</v>
      </c>
      <c r="K47">
        <f t="shared" ref="K47:K48" si="11">IF(I47="digikey", J47, INT(J47*1.1))</f>
        <v>3005</v>
      </c>
    </row>
    <row r="48" spans="1:11" x14ac:dyDescent="0.55000000000000004">
      <c r="A48" t="s">
        <v>78</v>
      </c>
      <c r="B48" t="s">
        <v>79</v>
      </c>
      <c r="C48" t="s">
        <v>109</v>
      </c>
      <c r="D48" t="s">
        <v>126</v>
      </c>
      <c r="E48">
        <v>1</v>
      </c>
      <c r="G48">
        <v>10</v>
      </c>
      <c r="H48">
        <v>30</v>
      </c>
      <c r="I48" t="s">
        <v>144</v>
      </c>
      <c r="J48">
        <f t="shared" si="0"/>
        <v>300</v>
      </c>
      <c r="K48">
        <f t="shared" si="11"/>
        <v>330</v>
      </c>
    </row>
    <row r="49" spans="1:11" hidden="1" x14ac:dyDescent="0.55000000000000004">
      <c r="A49" t="s">
        <v>80</v>
      </c>
      <c r="B49" t="s">
        <v>81</v>
      </c>
      <c r="C49" t="s">
        <v>124</v>
      </c>
      <c r="D49" t="s">
        <v>127</v>
      </c>
      <c r="E49">
        <v>1</v>
      </c>
      <c r="F49" t="s">
        <v>136</v>
      </c>
      <c r="J49">
        <f t="shared" si="0"/>
        <v>0</v>
      </c>
      <c r="K49">
        <f t="shared" si="2"/>
        <v>0</v>
      </c>
    </row>
    <row r="50" spans="1:11" hidden="1" x14ac:dyDescent="0.55000000000000004">
      <c r="A50" t="s">
        <v>82</v>
      </c>
      <c r="B50" t="s">
        <v>152</v>
      </c>
      <c r="C50" t="s">
        <v>124</v>
      </c>
      <c r="D50" t="s">
        <v>128</v>
      </c>
      <c r="E50">
        <v>1</v>
      </c>
      <c r="G50">
        <v>5</v>
      </c>
      <c r="H50">
        <v>297</v>
      </c>
      <c r="I50" t="s">
        <v>140</v>
      </c>
      <c r="J50">
        <f t="shared" si="0"/>
        <v>1485</v>
      </c>
      <c r="K50">
        <f t="shared" ref="K50:K53" si="12">IF(I50="digikey", J50, INT(J50*1.1))</f>
        <v>1633</v>
      </c>
    </row>
    <row r="51" spans="1:11" hidden="1" x14ac:dyDescent="0.55000000000000004">
      <c r="A51" t="s">
        <v>83</v>
      </c>
      <c r="B51" t="s">
        <v>76</v>
      </c>
      <c r="C51" t="s">
        <v>120</v>
      </c>
      <c r="D51" t="s">
        <v>129</v>
      </c>
      <c r="E51">
        <v>1</v>
      </c>
      <c r="F51" t="s">
        <v>136</v>
      </c>
      <c r="J51">
        <f t="shared" si="0"/>
        <v>0</v>
      </c>
      <c r="K51">
        <f t="shared" si="2"/>
        <v>0</v>
      </c>
    </row>
    <row r="52" spans="1:11" hidden="1" x14ac:dyDescent="0.55000000000000004">
      <c r="A52" t="s">
        <v>84</v>
      </c>
      <c r="B52" t="s">
        <v>85</v>
      </c>
      <c r="C52" t="s">
        <v>120</v>
      </c>
      <c r="D52" t="s">
        <v>130</v>
      </c>
      <c r="E52">
        <v>1</v>
      </c>
      <c r="G52">
        <v>5</v>
      </c>
      <c r="H52">
        <v>105</v>
      </c>
      <c r="I52" t="s">
        <v>140</v>
      </c>
      <c r="J52">
        <f t="shared" si="0"/>
        <v>525</v>
      </c>
      <c r="K52">
        <f t="shared" si="12"/>
        <v>577</v>
      </c>
    </row>
    <row r="53" spans="1:11" hidden="1" x14ac:dyDescent="0.55000000000000004">
      <c r="A53" t="s">
        <v>86</v>
      </c>
      <c r="B53" t="s">
        <v>151</v>
      </c>
      <c r="C53" t="s">
        <v>131</v>
      </c>
      <c r="D53" t="s">
        <v>132</v>
      </c>
      <c r="E53">
        <v>1</v>
      </c>
      <c r="G53">
        <v>10</v>
      </c>
      <c r="H53">
        <v>113</v>
      </c>
      <c r="I53" t="s">
        <v>140</v>
      </c>
      <c r="J53">
        <f t="shared" si="0"/>
        <v>1130</v>
      </c>
      <c r="K53">
        <f t="shared" si="12"/>
        <v>1243</v>
      </c>
    </row>
  </sheetData>
  <autoFilter ref="A1:K53" xr:uid="{BA8F685F-541C-4C32-8170-42DEEECC9CFD}">
    <filterColumn colId="5">
      <filters blank="1"/>
    </filterColumn>
    <filterColumn colId="8">
      <filters>
        <filter val="秋月電子"/>
      </filters>
    </filterColumn>
  </autoFilter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DF18-C222-49CD-BEF4-D75A1E5A075D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MOTOR_DRIVER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渡辺将行</dc:creator>
  <cp:lastModifiedBy>渡辺 将行</cp:lastModifiedBy>
  <dcterms:created xsi:type="dcterms:W3CDTF">2022-05-03T01:16:55Z</dcterms:created>
  <dcterms:modified xsi:type="dcterms:W3CDTF">2022-05-05T10:29:32Z</dcterms:modified>
</cp:coreProperties>
</file>